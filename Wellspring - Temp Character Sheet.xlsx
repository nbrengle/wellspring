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ic Sheet" sheetId="1" r:id="rId5"/>
    <sheet state="visible" name="Read Me" sheetId="2" r:id="rId6"/>
    <sheet state="hidden" name="Data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">
      <text>
        <t xml:space="preserve">Determines your total Life Points and Spikes. By default, starting level 4 characters will have 3 LP and 2 Spikes, and certain Powers or Perks may increase these values.</t>
      </text>
    </comment>
    <comment authorId="0" ref="F7">
      <text>
        <t xml:space="preserve">Any starting resources from Perks, etc</t>
      </text>
    </comment>
    <comment authorId="0" ref="B28">
      <text>
        <t xml:space="preserve">Select challenges for up to 10 available points to spend on Advantages. Note: these points can only be spent on Linage Advantages in this section
</t>
      </text>
    </comment>
    <comment authorId="0" ref="B56">
      <text>
        <t xml:space="preserve">Default is 0 unless BP is refunded for a skill. Refunded BP is added to your spend pool
</t>
      </text>
    </comment>
    <comment authorId="0" ref="G56">
      <text>
        <t xml:space="preserve">take as many flaws as you want, but you only receive max 5 BP from total number
</t>
      </text>
    </comment>
    <comment authorId="0" ref="C57">
      <text>
        <t xml:space="preserve">Starting skills are free. However, if you gain a skill you already have, you get that skill's BP refunded. Select this option if this applies to a skill you have and fill out the "cost" field</t>
      </text>
    </comment>
  </commentList>
</comments>
</file>

<file path=xl/sharedStrings.xml><?xml version="1.0" encoding="utf-8"?>
<sst xmlns="http://schemas.openxmlformats.org/spreadsheetml/2006/main" count="171" uniqueCount="108">
  <si>
    <t>Basic Info</t>
  </si>
  <si>
    <t>Character Name:</t>
  </si>
  <si>
    <t>Player Name:</t>
  </si>
  <si>
    <t>Level:</t>
  </si>
  <si>
    <t>Armor Points:</t>
  </si>
  <si>
    <t>Life Points:</t>
  </si>
  <si>
    <t>Resources:</t>
  </si>
  <si>
    <t xml:space="preserve">Spikes: </t>
  </si>
  <si>
    <t>Wealth:</t>
  </si>
  <si>
    <t>Class</t>
  </si>
  <si>
    <t>Level</t>
  </si>
  <si>
    <t xml:space="preserve"> - Select Class -</t>
  </si>
  <si>
    <t>Spell Slots</t>
  </si>
  <si>
    <t>Utility Powers/Cantrips:</t>
  </si>
  <si>
    <t>Basic Powers/Known Spells:</t>
  </si>
  <si>
    <t>Innate Powers:</t>
  </si>
  <si>
    <t>Lineage</t>
  </si>
  <si>
    <t xml:space="preserve">Lineage:  </t>
  </si>
  <si>
    <t>- Select Lineage -</t>
  </si>
  <si>
    <t xml:space="preserve">Sub-Lineage (if any):  </t>
  </si>
  <si>
    <t>Lineage Build Points</t>
  </si>
  <si>
    <t>Strong Bloodline Perk Purchased</t>
  </si>
  <si>
    <t>Challenges</t>
  </si>
  <si>
    <t>Advantages</t>
  </si>
  <si>
    <t>Name</t>
  </si>
  <si>
    <t>Award</t>
  </si>
  <si>
    <t>Notes</t>
  </si>
  <si>
    <t>Cost</t>
  </si>
  <si>
    <t>Devotion</t>
  </si>
  <si>
    <t>(Optional)</t>
  </si>
  <si>
    <t xml:space="preserve">Devotion </t>
  </si>
  <si>
    <t>Locality</t>
  </si>
  <si>
    <t>Domain 1</t>
  </si>
  <si>
    <t>Domain 2</t>
  </si>
  <si>
    <t>Domain 3</t>
  </si>
  <si>
    <t>Domain 4</t>
  </si>
  <si>
    <t>- Select Devotion -</t>
  </si>
  <si>
    <t>Skills, Perks, Flaws</t>
  </si>
  <si>
    <t>Build Points (BP)</t>
  </si>
  <si>
    <t>Starting:</t>
  </si>
  <si>
    <t>From Flaws:</t>
  </si>
  <si>
    <t>From Refunds:</t>
  </si>
  <si>
    <t>Spent:</t>
  </si>
  <si>
    <t>Approved Backstory:</t>
  </si>
  <si>
    <t>Remaining:</t>
  </si>
  <si>
    <t>Free BP:</t>
  </si>
  <si>
    <t>From leveling or full-event NPCing</t>
  </si>
  <si>
    <t>Bonus BP:</t>
  </si>
  <si>
    <t>Max = total character level</t>
  </si>
  <si>
    <t>Starting/Free Skills:</t>
  </si>
  <si>
    <t>Flaws</t>
  </si>
  <si>
    <t>Refund?</t>
  </si>
  <si>
    <t>Perks:</t>
  </si>
  <si>
    <t>Purchased Skills:</t>
  </si>
  <si>
    <t>Purchased Domain Powers:</t>
  </si>
  <si>
    <t>A more robust CMA is in the works!</t>
  </si>
  <si>
    <t xml:space="preserve">In the meantime, we hope this helps with the math. </t>
  </si>
  <si>
    <t>How to use:</t>
  </si>
  <si>
    <r>
      <rPr/>
      <t xml:space="preserve">1) Refer to the </t>
    </r>
    <r>
      <rPr>
        <color rgb="FF1155CC"/>
        <u/>
      </rPr>
      <t>rulebook</t>
    </r>
    <r>
      <rPr/>
      <t xml:space="preserve"> on how to build a character. </t>
    </r>
  </si>
  <si>
    <t>2) Manually enter your choices into the light colored fields</t>
  </si>
  <si>
    <t>light grey = text</t>
  </si>
  <si>
    <t>light yellow = numbers</t>
  </si>
  <si>
    <t>3) White and dark yellow fields may have formulas</t>
  </si>
  <si>
    <t>Lineage:</t>
  </si>
  <si>
    <r>
      <rPr>
        <rFont val="&quot;Proxima Nova&quot;, sans-serif"/>
        <color rgb="FF1155CC"/>
        <u/>
      </rPr>
      <t>The Mother</t>
    </r>
  </si>
  <si>
    <t>Auros</t>
  </si>
  <si>
    <t>Life</t>
  </si>
  <si>
    <t>Creation</t>
  </si>
  <si>
    <t>Protection</t>
  </si>
  <si>
    <r>
      <rPr>
        <rFont val="&quot;Proxima Nova&quot;, sans-serif"/>
        <color rgb="FF1155CC"/>
        <u/>
      </rPr>
      <t>The Steed</t>
    </r>
  </si>
  <si>
    <t>Empire of Light</t>
  </si>
  <si>
    <t>War</t>
  </si>
  <si>
    <t>Order</t>
  </si>
  <si>
    <t>Light</t>
  </si>
  <si>
    <t>Energy: Fire</t>
  </si>
  <si>
    <r>
      <rPr>
        <rFont val="&quot;Proxima Nova&quot;, sans-serif"/>
        <color rgb="FF1155CC"/>
        <u/>
      </rPr>
      <t>Senri</t>
    </r>
  </si>
  <si>
    <t>Shorn</t>
  </si>
  <si>
    <t>Peace</t>
  </si>
  <si>
    <t>Destruction</t>
  </si>
  <si>
    <r>
      <rPr>
        <rFont val="&quot;Proxima Nova&quot;, sans-serif"/>
        <color rgb="FF1155CC"/>
        <u/>
      </rPr>
      <t>Dorne</t>
    </r>
  </si>
  <si>
    <r>
      <rPr>
        <rFont val="&quot;Proxima Nova&quot;, sans-serif"/>
        <color rgb="FF1155CC"/>
        <u/>
      </rPr>
      <t>Filian</t>
    </r>
  </si>
  <si>
    <t>Manipulation</t>
  </si>
  <si>
    <r>
      <rPr>
        <rFont val="&quot;Proxima Nova&quot;, sans-serif"/>
        <color rgb="FF1155CC"/>
        <u/>
      </rPr>
      <t>Mille</t>
    </r>
  </si>
  <si>
    <t>Expression</t>
  </si>
  <si>
    <r>
      <rPr>
        <rFont val="&quot;Proxima Nova&quot;, sans-serif"/>
        <color rgb="FF1155CC"/>
        <u/>
      </rPr>
      <t>The Song In Iron</t>
    </r>
  </si>
  <si>
    <t>Streams in Silver</t>
  </si>
  <si>
    <r>
      <rPr>
        <rFont val="&quot;Proxima Nova&quot;, sans-serif"/>
        <color rgb="FF1155CC"/>
        <u/>
      </rPr>
      <t>Dave</t>
    </r>
  </si>
  <si>
    <t>The Traveling Star</t>
  </si>
  <si>
    <t>Chaos</t>
  </si>
  <si>
    <r>
      <rPr>
        <rFont val="&quot;Proxima Nova&quot;, sans-serif"/>
        <color rgb="FF1155CC"/>
        <u/>
      </rPr>
      <t>The Great Mind</t>
    </r>
  </si>
  <si>
    <t>The Unified Technarchy</t>
  </si>
  <si>
    <t>Knowledge</t>
  </si>
  <si>
    <t>Energy: Lightning</t>
  </si>
  <si>
    <r>
      <rPr>
        <rFont val="&quot;Proxima Nova&quot;, sans-serif"/>
        <color rgb="FF1155CC"/>
        <u/>
      </rPr>
      <t>Druidism</t>
    </r>
  </si>
  <si>
    <t>Universal</t>
  </si>
  <si>
    <t>Nature</t>
  </si>
  <si>
    <r>
      <rPr>
        <rFont val="&quot;Proxima Nova&quot;, sans-serif"/>
        <color rgb="FF1155CC"/>
        <u/>
      </rPr>
      <t>The Howl at the End</t>
    </r>
  </si>
  <si>
    <t>Death</t>
  </si>
  <si>
    <t>Shadow</t>
  </si>
  <si>
    <r>
      <rPr>
        <rFont val="&quot;Proxima Nova&quot;, sans-serif"/>
        <color rgb="FF1155CC"/>
        <u/>
      </rPr>
      <t>The Divine Bloom</t>
    </r>
  </si>
  <si>
    <r>
      <rPr>
        <rFont val="&quot;Proxima Nova&quot;, sans-serif"/>
        <color rgb="FF1155CC"/>
        <u/>
      </rPr>
      <t>The Witch of Webs</t>
    </r>
  </si>
  <si>
    <r>
      <rPr>
        <rFont val="&quot;Proxima Nova&quot;, sans-serif"/>
        <color rgb="FF1155CC"/>
        <u/>
      </rPr>
      <t>The Pale Star</t>
    </r>
  </si>
  <si>
    <t>Energy: Ice</t>
  </si>
  <si>
    <r>
      <rPr>
        <rFont val="&quot;Proxima Nova&quot;, sans-serif"/>
        <color rgb="FF1155CC"/>
        <u/>
      </rPr>
      <t>Devourer</t>
    </r>
  </si>
  <si>
    <t>Energy: Acid</t>
  </si>
  <si>
    <r>
      <rPr>
        <rFont val="&quot;Proxima Nova&quot;, sans-serif"/>
        <color rgb="FF1155CC"/>
        <u/>
      </rPr>
      <t>The Librarian</t>
    </r>
  </si>
  <si>
    <r>
      <rPr>
        <rFont val="&quot;Proxima Nova&quot;, sans-serif"/>
        <color rgb="FF1155CC"/>
        <u/>
      </rPr>
      <t>Wildfire</t>
    </r>
  </si>
  <si>
    <r>
      <rPr>
        <rFont val="&quot;Proxima Nova&quot;, sans-serif"/>
        <color rgb="FF1155CC"/>
        <u/>
      </rPr>
      <t>The Dancer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</si>
</sst>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7">
    <font>
      <sz val="10.0"/>
      <color rgb="FF000000"/>
      <name val="Arial"/>
      <scheme val="minor"/>
    </font>
    <font>
      <i/>
      <color theme="1"/>
      <name val="Arial"/>
      <scheme val="minor"/>
    </font>
    <font>
      <b/>
      <sz val="15.0"/>
      <color rgb="FFF1C232"/>
      <name val="Cinzel"/>
    </font>
    <font>
      <sz val="15.0"/>
      <color rgb="FFF1C232"/>
      <name val="Cinzel"/>
    </font>
    <font>
      <b/>
      <sz val="12.0"/>
      <color rgb="FF000000"/>
      <name val="'Proxima Nova'"/>
    </font>
    <font>
      <b/>
      <color theme="1"/>
      <name val="Arial"/>
      <scheme val="minor"/>
    </font>
    <font>
      <b/>
      <sz val="10.0"/>
      <color rgb="FF000000"/>
      <name val="'Proxima Nova'"/>
    </font>
    <font>
      <color theme="1"/>
      <name val="Arial"/>
      <scheme val="minor"/>
    </font>
    <font>
      <b/>
      <u/>
      <sz val="10.0"/>
      <color rgb="FF000000"/>
      <name val="'Proxima Nova'"/>
    </font>
    <font>
      <sz val="11.0"/>
      <color rgb="FF000000"/>
      <name val="'Proxima Nova'"/>
    </font>
    <font>
      <b/>
      <u/>
      <sz val="15.0"/>
      <color rgb="FFFFD966"/>
      <name val="Cinzel"/>
    </font>
    <font>
      <i/>
      <sz val="9.0"/>
      <color theme="1"/>
      <name val="Proxima Nova"/>
    </font>
    <font>
      <i/>
      <sz val="9.0"/>
      <color rgb="FF000000"/>
      <name val="Proxima Nova"/>
    </font>
    <font>
      <color theme="1"/>
      <name val="Proxima Nova"/>
    </font>
    <font>
      <sz val="11.0"/>
      <color rgb="FF999999"/>
      <name val="Proxima Nova"/>
    </font>
    <font>
      <b/>
      <sz val="10.0"/>
      <color rgb="FF000000"/>
      <name val="Proxima Nova"/>
    </font>
    <font>
      <sz val="11.0"/>
      <color rgb="FFB7B7B7"/>
      <name val="Proxima Nova"/>
    </font>
    <font>
      <sz val="11.0"/>
      <color rgb="FF000000"/>
      <name val="Proxima Nova"/>
    </font>
    <font>
      <b/>
      <sz val="12.0"/>
      <color rgb="FF000000"/>
      <name val="Proxima Nova"/>
    </font>
    <font>
      <b/>
      <sz val="11.0"/>
      <color rgb="FF000000"/>
      <name val="Proxima Nova"/>
    </font>
    <font>
      <b/>
      <u/>
      <sz val="15.0"/>
      <color rgb="FFF1C232"/>
      <name val="Cinzel"/>
    </font>
    <font>
      <b/>
      <sz val="11.0"/>
      <color rgb="FF000000"/>
      <name val="'Proxima Nova'"/>
    </font>
    <font>
      <sz val="11.0"/>
      <color rgb="FF999999"/>
      <name val="'Proxima Nova'"/>
    </font>
    <font>
      <i/>
      <sz val="11.0"/>
      <color rgb="FFB7B7B7"/>
      <name val="'Proxima Nova'"/>
    </font>
    <font>
      <sz val="11.0"/>
      <color rgb="FF000000"/>
      <name val="&quot;Proxima Nova&quot;"/>
    </font>
    <font>
      <color rgb="FF000000"/>
      <name val="Arial"/>
      <scheme val="minor"/>
    </font>
    <font>
      <sz val="10.0"/>
      <color rgb="FF434343"/>
      <name val="'Proxima Nova'"/>
    </font>
    <font>
      <b/>
      <color rgb="FF434343"/>
      <name val="Arial"/>
      <scheme val="minor"/>
    </font>
    <font>
      <b/>
      <sz val="14.0"/>
      <color rgb="FF000000"/>
      <name val="'Proxima Nova'"/>
    </font>
    <font>
      <i/>
      <sz val="9.0"/>
      <color theme="1"/>
      <name val="Arial"/>
      <scheme val="minor"/>
    </font>
    <font>
      <i/>
      <sz val="9.0"/>
      <color rgb="FF000000"/>
      <name val="'Proxima Nova'"/>
    </font>
    <font>
      <i/>
      <sz val="11.0"/>
      <color rgb="FF000000"/>
      <name val="'Proxima Nova'"/>
    </font>
    <font>
      <i/>
      <sz val="9.0"/>
      <color rgb="FF666666"/>
      <name val="'Proxima Nova'"/>
    </font>
    <font>
      <color rgb="FF666666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color rgb="FFB7B7B7"/>
      <name val="Arial"/>
      <scheme val="minor"/>
    </font>
    <font>
      <i/>
      <sz val="11.0"/>
      <color rgb="FF434343"/>
      <name val="'Proxima Nova'"/>
    </font>
    <font>
      <sz val="11.0"/>
      <color rgb="FF434343"/>
      <name val="'Proxima Nova'"/>
    </font>
    <font>
      <color rgb="FF999999"/>
      <name val="Arial"/>
      <scheme val="minor"/>
    </font>
    <font>
      <color theme="1"/>
      <name val="Arial"/>
    </font>
    <font>
      <b/>
      <sz val="11.0"/>
      <color theme="1"/>
      <name val="Proxima Nova"/>
    </font>
    <font>
      <b/>
      <sz val="14.0"/>
      <color theme="1"/>
      <name val="Proxima Nova"/>
    </font>
    <font>
      <i/>
      <sz val="9.0"/>
      <color theme="1"/>
      <name val="Arial"/>
    </font>
    <font>
      <b/>
      <sz val="12.0"/>
      <color theme="1"/>
      <name val="Arial"/>
      <scheme val="minor"/>
    </font>
    <font>
      <u/>
      <color rgb="FF0000FF"/>
    </font>
    <font>
      <u/>
      <color rgb="FF0000FF"/>
      <name val="&quot;Proxima Nova&quot;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3" numFmtId="0" xfId="0" applyFont="1"/>
    <xf borderId="0" fillId="3" fontId="4" numFmtId="0" xfId="0" applyAlignment="1" applyFill="1" applyFont="1">
      <alignment readingOrder="0"/>
    </xf>
    <xf borderId="0" fillId="4" fontId="5" numFmtId="0" xfId="0" applyFill="1" applyFont="1"/>
    <xf borderId="0" fillId="3" fontId="6" numFmtId="0" xfId="0" applyAlignment="1" applyFont="1">
      <alignment readingOrder="0"/>
    </xf>
    <xf borderId="0" fillId="5" fontId="7" numFmtId="0" xfId="0" applyAlignment="1" applyFill="1" applyFont="1">
      <alignment readingOrder="0"/>
    </xf>
    <xf borderId="0" fillId="3" fontId="8" numFmtId="0" xfId="0" applyAlignment="1" applyFont="1">
      <alignment readingOrder="0"/>
    </xf>
    <xf borderId="0" fillId="5" fontId="7" numFmtId="0" xfId="0" applyFont="1"/>
    <xf borderId="0" fillId="3" fontId="6" numFmtId="0" xfId="0" applyAlignment="1" applyFont="1">
      <alignment readingOrder="0"/>
    </xf>
    <xf borderId="0" fillId="0" fontId="9" numFmtId="0" xfId="0" applyFont="1"/>
    <xf borderId="0" fillId="2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Font="1"/>
    <xf borderId="0" fillId="4" fontId="14" numFmtId="0" xfId="0" applyAlignment="1" applyFont="1">
      <alignment horizontal="right" readingOrder="0"/>
    </xf>
    <xf borderId="0" fillId="5" fontId="13" numFmtId="0" xfId="0" applyFont="1"/>
    <xf borderId="0" fillId="3" fontId="15" numFmtId="0" xfId="0" applyAlignment="1" applyFont="1">
      <alignment readingOrder="0"/>
    </xf>
    <xf borderId="0" fillId="0" fontId="16" numFmtId="0" xfId="0" applyAlignment="1" applyFont="1">
      <alignment horizontal="right" readingOrder="0"/>
    </xf>
    <xf borderId="0" fillId="0" fontId="17" numFmtId="0" xfId="0" applyFont="1"/>
    <xf borderId="0" fillId="3" fontId="18" numFmtId="0" xfId="0" applyAlignment="1" applyFont="1">
      <alignment readingOrder="0"/>
    </xf>
    <xf borderId="0" fillId="3" fontId="19" numFmtId="0" xfId="0" applyAlignment="1" applyFont="1">
      <alignment readingOrder="0"/>
    </xf>
    <xf borderId="0" fillId="4" fontId="13" numFmtId="0" xfId="0" applyFont="1"/>
    <xf borderId="0" fillId="2" fontId="20" numFmtId="0" xfId="0" applyAlignment="1" applyFont="1">
      <alignment readingOrder="0"/>
    </xf>
    <xf borderId="0" fillId="0" fontId="21" numFmtId="0" xfId="0" applyAlignment="1" applyFont="1">
      <alignment horizontal="right" readingOrder="0"/>
    </xf>
    <xf borderId="0" fillId="4" fontId="22" numFmtId="0" xfId="0" applyAlignment="1" applyFont="1">
      <alignment horizontal="left" readingOrder="0"/>
    </xf>
    <xf borderId="0" fillId="0" fontId="23" numFmtId="0" xfId="0" applyAlignment="1" applyFont="1">
      <alignment horizontal="right" readingOrder="0"/>
    </xf>
    <xf borderId="0" fillId="0" fontId="24" numFmtId="0" xfId="0" applyAlignment="1" applyFont="1">
      <alignment readingOrder="0"/>
    </xf>
    <xf borderId="0" fillId="0" fontId="25" numFmtId="0" xfId="0" applyFont="1"/>
    <xf borderId="0" fillId="0" fontId="26" numFmtId="0" xfId="0" applyAlignment="1" applyFont="1">
      <alignment horizontal="right" readingOrder="0"/>
    </xf>
    <xf borderId="0" fillId="0" fontId="27" numFmtId="0" xfId="0" applyAlignment="1" applyFont="1">
      <alignment horizontal="center"/>
    </xf>
    <xf borderId="0" fillId="0" fontId="9" numFmtId="0" xfId="0" applyAlignment="1" applyFont="1">
      <alignment horizontal="right" readingOrder="0"/>
    </xf>
    <xf borderId="0" fillId="4" fontId="7" numFmtId="0" xfId="0" applyAlignment="1" applyFont="1">
      <alignment readingOrder="0"/>
    </xf>
    <xf borderId="0" fillId="3" fontId="28" numFmtId="0" xfId="0" applyAlignment="1" applyFont="1">
      <alignment readingOrder="0"/>
    </xf>
    <xf borderId="0" fillId="3" fontId="7" numFmtId="0" xfId="0" applyFont="1"/>
    <xf borderId="0" fillId="6" fontId="29" numFmtId="0" xfId="0" applyAlignment="1" applyFill="1" applyFont="1">
      <alignment readingOrder="0"/>
    </xf>
    <xf borderId="0" fillId="6" fontId="30" numFmtId="0" xfId="0" applyAlignment="1" applyFont="1">
      <alignment readingOrder="0"/>
    </xf>
    <xf borderId="0" fillId="4" fontId="7" numFmtId="0" xfId="0" applyFont="1"/>
    <xf borderId="0" fillId="0" fontId="31" numFmtId="0" xfId="0" applyAlignment="1" applyFont="1">
      <alignment horizontal="right" readingOrder="0"/>
    </xf>
    <xf borderId="0" fillId="0" fontId="9" numFmtId="0" xfId="0" applyAlignment="1" applyFont="1">
      <alignment readingOrder="0"/>
    </xf>
    <xf borderId="0" fillId="3" fontId="4" numFmtId="0" xfId="0" applyAlignment="1" applyFont="1">
      <alignment readingOrder="0" vertical="center"/>
    </xf>
    <xf borderId="0" fillId="3" fontId="32" numFmtId="0" xfId="0" applyAlignment="1" applyFont="1">
      <alignment horizontal="center" readingOrder="0" vertical="center"/>
    </xf>
    <xf borderId="0" fillId="4" fontId="33" numFmtId="0" xfId="0" applyAlignment="1" applyFont="1">
      <alignment horizontal="right" readingOrder="0"/>
    </xf>
    <xf borderId="0" fillId="0" fontId="34" numFmtId="0" xfId="0" applyAlignment="1" applyFont="1">
      <alignment horizontal="center"/>
    </xf>
    <xf borderId="0" fillId="0" fontId="35" numFmtId="0" xfId="0" applyAlignment="1" applyFont="1">
      <alignment horizontal="center"/>
    </xf>
    <xf borderId="0" fillId="0" fontId="35" numFmtId="0" xfId="0" applyFont="1"/>
    <xf borderId="1" fillId="3" fontId="28" numFmtId="0" xfId="0" applyAlignment="1" applyBorder="1" applyFont="1">
      <alignment horizontal="center" readingOrder="0"/>
    </xf>
    <xf borderId="0" fillId="0" fontId="36" numFmtId="0" xfId="0" applyFont="1"/>
    <xf borderId="0" fillId="0" fontId="37" numFmtId="0" xfId="0" applyAlignment="1" applyFont="1">
      <alignment horizontal="right" readingOrder="0"/>
    </xf>
    <xf borderId="0" fillId="0" fontId="27" numFmtId="0" xfId="0" applyAlignment="1" applyFont="1">
      <alignment horizontal="center" readingOrder="0"/>
    </xf>
    <xf borderId="0" fillId="6" fontId="27" numFmtId="0" xfId="0" applyAlignment="1" applyFont="1">
      <alignment horizontal="center"/>
    </xf>
    <xf borderId="0" fillId="0" fontId="38" numFmtId="0" xfId="0" applyAlignment="1" applyFont="1">
      <alignment horizontal="right" readingOrder="0"/>
    </xf>
    <xf borderId="0" fillId="0" fontId="27" numFmtId="0" xfId="0" applyFont="1"/>
    <xf borderId="0" fillId="0" fontId="7" numFmtId="0" xfId="0" applyAlignment="1" applyFont="1">
      <alignment readingOrder="0"/>
    </xf>
    <xf borderId="0" fillId="0" fontId="39" numFmtId="0" xfId="0" applyFont="1"/>
    <xf borderId="0" fillId="3" fontId="21" numFmtId="0" xfId="0" applyAlignment="1" applyFont="1">
      <alignment readingOrder="0"/>
    </xf>
    <xf borderId="0" fillId="3" fontId="28" numFmtId="0" xfId="0" applyAlignment="1" applyFont="1">
      <alignment horizontal="center" readingOrder="0"/>
    </xf>
    <xf borderId="0" fillId="3" fontId="7" numFmtId="0" xfId="0" applyAlignment="1" applyFont="1">
      <alignment readingOrder="0"/>
    </xf>
    <xf borderId="0" fillId="6" fontId="30" numFmtId="0" xfId="0" applyAlignment="1" applyFont="1">
      <alignment horizontal="left" readingOrder="0"/>
    </xf>
    <xf borderId="0" fillId="7" fontId="7" numFmtId="0" xfId="0" applyAlignment="1" applyFill="1" applyFont="1">
      <alignment readingOrder="0"/>
    </xf>
    <xf borderId="0" fillId="4" fontId="40" numFmtId="0" xfId="0" applyAlignment="1" applyFont="1">
      <alignment vertical="bottom"/>
    </xf>
    <xf borderId="0" fillId="7" fontId="7" numFmtId="0" xfId="0" applyFont="1"/>
    <xf borderId="0" fillId="3" fontId="41" numFmtId="0" xfId="0" applyAlignment="1" applyFont="1">
      <alignment readingOrder="0" vertical="bottom"/>
    </xf>
    <xf borderId="0" fillId="3" fontId="42" numFmtId="0" xfId="0" applyAlignment="1" applyFont="1">
      <alignment horizontal="center" vertical="bottom"/>
    </xf>
    <xf borderId="0" fillId="3" fontId="40" numFmtId="0" xfId="0" applyAlignment="1" applyFont="1">
      <alignment vertical="bottom"/>
    </xf>
    <xf borderId="0" fillId="6" fontId="43" numFmtId="0" xfId="0" applyAlignment="1" applyFont="1">
      <alignment vertical="bottom"/>
    </xf>
    <xf borderId="0" fillId="6" fontId="11" numFmtId="0" xfId="0" applyAlignment="1" applyFont="1">
      <alignment vertical="bottom"/>
    </xf>
    <xf borderId="0" fillId="5" fontId="40" numFmtId="0" xfId="0" applyAlignment="1" applyFont="1">
      <alignment readingOrder="0" vertical="bottom"/>
    </xf>
    <xf borderId="0" fillId="5" fontId="40" numFmtId="0" xfId="0" applyAlignment="1" applyFont="1">
      <alignment vertical="bottom"/>
    </xf>
    <xf borderId="0" fillId="8" fontId="44" numFmtId="0" xfId="0" applyAlignment="1" applyFill="1" applyFont="1">
      <alignment readingOrder="0"/>
    </xf>
    <xf borderId="0" fillId="8" fontId="5" numFmtId="0" xfId="0" applyFont="1"/>
    <xf borderId="0" fillId="0" fontId="5" numFmtId="0" xfId="0" applyFont="1"/>
    <xf borderId="0" fillId="3" fontId="5" numFmtId="0" xfId="0" applyAlignment="1" applyFont="1">
      <alignment readingOrder="0"/>
    </xf>
    <xf borderId="0" fillId="0" fontId="45" numFmtId="0" xfId="0" applyAlignment="1" applyFont="1">
      <alignment readingOrder="0"/>
    </xf>
    <xf borderId="0" fillId="0" fontId="7" numFmtId="0" xfId="0" applyFont="1"/>
    <xf borderId="0" fillId="0" fontId="46" numFmtId="0" xfId="0" applyAlignment="1" applyFont="1">
      <alignment horizontal="left" readingOrder="0" shrinkToFit="0" wrapText="1"/>
    </xf>
  </cellXfs>
  <cellStyles count="1">
    <cellStyle xfId="0" name="Normal" builtinId="0"/>
  </cellStyles>
  <dxfs count="3">
    <dxf>
      <font>
        <b/>
        <color rgb="FF000000"/>
      </font>
      <fill>
        <patternFill patternType="solid">
          <fgColor rgb="FFF3F3F3"/>
          <bgColor rgb="FFF3F3F3"/>
        </patternFill>
      </fill>
      <border/>
    </dxf>
    <dxf>
      <font>
        <b/>
        <color rgb="FF000000"/>
      </font>
      <fill>
        <patternFill patternType="solid">
          <fgColor rgb="FFEFEFEF"/>
          <bgColor rgb="FFEFEFEF"/>
        </patternFill>
      </fill>
      <border/>
    </dxf>
    <dxf>
      <font>
        <b/>
        <color rgb="FFCC0000"/>
      </font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document/d/16LCSRmLpdOXFHlIhBWIU20ag-nopzj9nCl6MwmUQDI8/edit?tab=t.0" TargetMode="External"/><Relationship Id="rId3" Type="http://schemas.openxmlformats.org/officeDocument/2006/relationships/hyperlink" Target="https://docs.google.com/document/d/16LCSRmLpdOXFHlIhBWIU20ag-nopzj9nCl6MwmUQDI8/edit?tab=t.0" TargetMode="External"/><Relationship Id="rId4" Type="http://schemas.openxmlformats.org/officeDocument/2006/relationships/hyperlink" Target="https://docs.google.com/document/d/17xW11UEJp9PkAogya-JCa9MoKsNlqtcrvf_l8n5rSsw/edit?tab=t.0" TargetMode="External"/><Relationship Id="rId9" Type="http://schemas.openxmlformats.org/officeDocument/2006/relationships/vmlDrawing" Target="../drawings/vmlDrawing1.vml"/><Relationship Id="rId5" Type="http://schemas.openxmlformats.org/officeDocument/2006/relationships/hyperlink" Target="https://drive.google.com/open?id=1UhmoOL8IxaNSSeJOuJT2z5zsukm9Nd4PtUGdqP5WshA" TargetMode="External"/><Relationship Id="rId6" Type="http://schemas.openxmlformats.org/officeDocument/2006/relationships/hyperlink" Target="https://docs.google.com/document/d/1DsHJ_ZNhpp0IGiJvIOyKJ1yfWqXKvsioo7fgfw-heS0/edit?tab=t.0" TargetMode="External"/><Relationship Id="rId7" Type="http://schemas.openxmlformats.org/officeDocument/2006/relationships/hyperlink" Target="https://docs.google.com/document/d/1vLGRqh15oU6KnwwtQ9HVvr7NUAgUSYoIQdd5LI-D10I/edit?tab=t.0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6LCSRmLpdOXFHlIhBWIU20ag-nopzj9nCl6MwmUQDI8/edit?tab=t.0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DsHJ_ZNhpp0IGiJvIOyKJ1yfWqXKvsioo7fgfw-heS0/edit?tab=t.0" TargetMode="External"/><Relationship Id="rId10" Type="http://schemas.openxmlformats.org/officeDocument/2006/relationships/hyperlink" Target="https://docs.google.com/document/d/1DsHJ_ZNhpp0IGiJvIOyKJ1yfWqXKvsioo7fgfw-heS0/edit?tab=t.0" TargetMode="External"/><Relationship Id="rId13" Type="http://schemas.openxmlformats.org/officeDocument/2006/relationships/hyperlink" Target="https://docs.google.com/document/d/1DsHJ_ZNhpp0IGiJvIOyKJ1yfWqXKvsioo7fgfw-heS0/edit?tab=t.0" TargetMode="External"/><Relationship Id="rId12" Type="http://schemas.openxmlformats.org/officeDocument/2006/relationships/hyperlink" Target="https://docs.google.com/document/d/1DsHJ_ZNhpp0IGiJvIOyKJ1yfWqXKvsioo7fgfw-heS0/edit?tab=t.0" TargetMode="External"/><Relationship Id="rId1" Type="http://schemas.openxmlformats.org/officeDocument/2006/relationships/hyperlink" Target="https://docs.google.com/document/d/1DsHJ_ZNhpp0IGiJvIOyKJ1yfWqXKvsioo7fgfw-heS0/edit?tab=t.0" TargetMode="External"/><Relationship Id="rId2" Type="http://schemas.openxmlformats.org/officeDocument/2006/relationships/hyperlink" Target="https://docs.google.com/document/d/1DsHJ_ZNhpp0IGiJvIOyKJ1yfWqXKvsioo7fgfw-heS0/edit?tab=t.0" TargetMode="External"/><Relationship Id="rId3" Type="http://schemas.openxmlformats.org/officeDocument/2006/relationships/hyperlink" Target="https://docs.google.com/document/d/1DsHJ_ZNhpp0IGiJvIOyKJ1yfWqXKvsioo7fgfw-heS0/edit?tab=t.0" TargetMode="External"/><Relationship Id="rId4" Type="http://schemas.openxmlformats.org/officeDocument/2006/relationships/hyperlink" Target="https://docs.google.com/document/d/1DsHJ_ZNhpp0IGiJvIOyKJ1yfWqXKvsioo7fgfw-heS0/edit?tab=t.0" TargetMode="External"/><Relationship Id="rId9" Type="http://schemas.openxmlformats.org/officeDocument/2006/relationships/hyperlink" Target="https://docs.google.com/document/d/1DsHJ_ZNhpp0IGiJvIOyKJ1yfWqXKvsioo7fgfw-heS0/edit?tab=t.0" TargetMode="External"/><Relationship Id="rId15" Type="http://schemas.openxmlformats.org/officeDocument/2006/relationships/hyperlink" Target="https://docs.google.com/document/d/1DsHJ_ZNhpp0IGiJvIOyKJ1yfWqXKvsioo7fgfw-heS0/edit?tab=t.0" TargetMode="External"/><Relationship Id="rId14" Type="http://schemas.openxmlformats.org/officeDocument/2006/relationships/hyperlink" Target="https://docs.google.com/document/d/1DsHJ_ZNhpp0IGiJvIOyKJ1yfWqXKvsioo7fgfw-heS0/edit?tab=t.0" TargetMode="External"/><Relationship Id="rId17" Type="http://schemas.openxmlformats.org/officeDocument/2006/relationships/hyperlink" Target="https://docs.google.com/document/d/1DsHJ_ZNhpp0IGiJvIOyKJ1yfWqXKvsioo7fgfw-heS0/edit?tab=t.0" TargetMode="External"/><Relationship Id="rId16" Type="http://schemas.openxmlformats.org/officeDocument/2006/relationships/hyperlink" Target="https://docs.google.com/document/d/1DsHJ_ZNhpp0IGiJvIOyKJ1yfWqXKvsioo7fgfw-heS0/edit?tab=t.0" TargetMode="External"/><Relationship Id="rId5" Type="http://schemas.openxmlformats.org/officeDocument/2006/relationships/hyperlink" Target="https://docs.google.com/document/d/1DsHJ_ZNhpp0IGiJvIOyKJ1yfWqXKvsioo7fgfw-heS0/edit?tab=t.0" TargetMode="External"/><Relationship Id="rId19" Type="http://schemas.openxmlformats.org/officeDocument/2006/relationships/drawing" Target="../drawings/drawing3.xml"/><Relationship Id="rId6" Type="http://schemas.openxmlformats.org/officeDocument/2006/relationships/hyperlink" Target="https://docs.google.com/document/d/1DsHJ_ZNhpp0IGiJvIOyKJ1yfWqXKvsioo7fgfw-heS0/edit?tab=t.0" TargetMode="External"/><Relationship Id="rId18" Type="http://schemas.openxmlformats.org/officeDocument/2006/relationships/hyperlink" Target="https://docs.google.com/document/d/1DsHJ_ZNhpp0IGiJvIOyKJ1yfWqXKvsioo7fgfw-heS0/edit?tab=t.0" TargetMode="External"/><Relationship Id="rId7" Type="http://schemas.openxmlformats.org/officeDocument/2006/relationships/hyperlink" Target="https://docs.google.com/document/d/1DsHJ_ZNhpp0IGiJvIOyKJ1yfWqXKvsioo7fgfw-heS0/edit?tab=t.0" TargetMode="External"/><Relationship Id="rId8" Type="http://schemas.openxmlformats.org/officeDocument/2006/relationships/hyperlink" Target="https://docs.google.com/document/d/1DsHJ_ZNhpp0IGiJvIOyKJ1yfWqXKvsioo7fgfw-heS0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6.25"/>
    <col customWidth="1" min="3" max="3" width="18.5"/>
    <col customWidth="1" min="4" max="4" width="6.5"/>
    <col customWidth="1" min="5" max="5" width="5.63"/>
    <col customWidth="1" min="6" max="6" width="12.0"/>
    <col customWidth="1" min="7" max="7" width="5.25"/>
    <col customWidth="1" min="8" max="8" width="16.88"/>
  </cols>
  <sheetData>
    <row r="1">
      <c r="B1" s="1"/>
      <c r="C1" s="1"/>
      <c r="D1" s="1"/>
      <c r="E1" s="1"/>
      <c r="F1" s="1"/>
      <c r="G1" s="1"/>
      <c r="H1" s="1"/>
      <c r="I1" s="1"/>
    </row>
    <row r="2">
      <c r="A2" s="2" t="s">
        <v>0</v>
      </c>
      <c r="B2" s="3"/>
      <c r="C2" s="3"/>
      <c r="D2" s="3"/>
      <c r="E2" s="3"/>
      <c r="F2" s="3"/>
      <c r="G2" s="3"/>
      <c r="H2" s="3"/>
      <c r="I2" s="3"/>
    </row>
    <row r="3">
      <c r="A3" s="4" t="s">
        <v>1</v>
      </c>
      <c r="B3" s="5"/>
    </row>
    <row r="4">
      <c r="A4" s="4" t="s">
        <v>2</v>
      </c>
      <c r="B4" s="5"/>
    </row>
    <row r="6">
      <c r="A6" s="6" t="s">
        <v>3</v>
      </c>
      <c r="B6" s="7">
        <v>5.0</v>
      </c>
      <c r="F6" s="8" t="s">
        <v>4</v>
      </c>
      <c r="G6" s="9"/>
    </row>
    <row r="7">
      <c r="A7" s="10" t="s">
        <v>5</v>
      </c>
      <c r="B7" s="7">
        <v>3.0</v>
      </c>
      <c r="F7" s="6" t="s">
        <v>6</v>
      </c>
      <c r="G7" s="9"/>
    </row>
    <row r="8">
      <c r="A8" s="8" t="s">
        <v>7</v>
      </c>
      <c r="B8" s="7">
        <v>2.0</v>
      </c>
      <c r="F8" s="6" t="s">
        <v>8</v>
      </c>
      <c r="G8" s="7">
        <v>8.0</v>
      </c>
    </row>
    <row r="9">
      <c r="A9" s="11"/>
    </row>
    <row r="10">
      <c r="A10" s="12" t="s">
        <v>9</v>
      </c>
      <c r="B10" s="3"/>
      <c r="C10" s="3"/>
      <c r="D10" s="3"/>
      <c r="E10" s="3"/>
      <c r="F10" s="3"/>
      <c r="G10" s="3"/>
      <c r="H10" s="3"/>
      <c r="I10" s="3"/>
    </row>
    <row r="11">
      <c r="A11" s="13"/>
      <c r="B11" s="14" t="s">
        <v>10</v>
      </c>
      <c r="C11" s="15"/>
      <c r="D11" s="15"/>
      <c r="E11" s="15"/>
      <c r="F11" s="15"/>
      <c r="G11" s="15"/>
      <c r="H11" s="15"/>
    </row>
    <row r="12">
      <c r="A12" s="16" t="s">
        <v>11</v>
      </c>
      <c r="B12" s="17"/>
      <c r="C12" s="15"/>
      <c r="D12" s="15"/>
      <c r="E12" s="15"/>
      <c r="F12" s="18" t="s">
        <v>12</v>
      </c>
      <c r="G12" s="17"/>
      <c r="H12" s="15"/>
    </row>
    <row r="13">
      <c r="A13" s="19" t="s">
        <v>11</v>
      </c>
      <c r="B13" s="17"/>
      <c r="C13" s="15"/>
      <c r="D13" s="15"/>
      <c r="E13" s="15"/>
      <c r="F13" s="15"/>
      <c r="G13" s="15"/>
      <c r="H13" s="15"/>
    </row>
    <row r="14">
      <c r="A14" s="19" t="s">
        <v>11</v>
      </c>
      <c r="B14" s="17"/>
      <c r="C14" s="15"/>
      <c r="D14" s="15"/>
      <c r="E14" s="15"/>
      <c r="F14" s="15"/>
      <c r="G14" s="15"/>
      <c r="H14" s="15"/>
    </row>
    <row r="15">
      <c r="A15" s="20"/>
      <c r="B15" s="15"/>
      <c r="C15" s="15"/>
      <c r="D15" s="15"/>
      <c r="E15" s="15"/>
      <c r="F15" s="15"/>
      <c r="G15" s="15"/>
      <c r="H15" s="15"/>
    </row>
    <row r="16">
      <c r="A16" s="21" t="s">
        <v>13</v>
      </c>
      <c r="B16" s="15"/>
      <c r="C16" s="22" t="s">
        <v>14</v>
      </c>
      <c r="E16" s="15"/>
      <c r="F16" s="21" t="s">
        <v>15</v>
      </c>
    </row>
    <row r="17">
      <c r="A17" s="23"/>
      <c r="B17" s="15"/>
      <c r="C17" s="23"/>
      <c r="E17" s="15"/>
      <c r="F17" s="23"/>
    </row>
    <row r="18">
      <c r="A18" s="23"/>
      <c r="B18" s="15"/>
      <c r="C18" s="23"/>
      <c r="E18" s="15"/>
      <c r="F18" s="23"/>
    </row>
    <row r="19">
      <c r="A19" s="23"/>
      <c r="B19" s="15"/>
      <c r="C19" s="23"/>
      <c r="E19" s="15"/>
      <c r="F19" s="23"/>
    </row>
    <row r="20">
      <c r="A20" s="23"/>
      <c r="B20" s="15"/>
      <c r="C20" s="23"/>
      <c r="E20" s="15"/>
      <c r="F20" s="23"/>
    </row>
    <row r="21">
      <c r="A21" s="23"/>
      <c r="B21" s="15"/>
      <c r="C21" s="23"/>
      <c r="E21" s="15"/>
      <c r="F21" s="23"/>
    </row>
    <row r="23">
      <c r="A23" s="24" t="s">
        <v>16</v>
      </c>
      <c r="B23" s="3"/>
      <c r="C23" s="3"/>
      <c r="D23" s="3"/>
      <c r="E23" s="3"/>
      <c r="F23" s="3"/>
      <c r="G23" s="3"/>
      <c r="H23" s="3"/>
      <c r="I23" s="3"/>
    </row>
    <row r="24">
      <c r="A24" s="25" t="s">
        <v>17</v>
      </c>
      <c r="B24" s="26" t="s">
        <v>18</v>
      </c>
      <c r="F24" s="27"/>
      <c r="G24" s="28"/>
    </row>
    <row r="25">
      <c r="A25" s="25" t="s">
        <v>19</v>
      </c>
      <c r="B25" s="5"/>
      <c r="D25" s="1"/>
      <c r="E25" s="29"/>
      <c r="F25" s="30" t="s">
        <v>20</v>
      </c>
      <c r="G25" s="31">
        <f>IF(G26=TRUE,SUM(B28-G28)+3,SUM(B28-G28))</f>
        <v>0</v>
      </c>
    </row>
    <row r="26">
      <c r="A26" s="32"/>
      <c r="F26" s="30" t="s">
        <v>21</v>
      </c>
      <c r="G26" s="33" t="b">
        <v>0</v>
      </c>
    </row>
    <row r="27">
      <c r="A27" s="11"/>
    </row>
    <row r="28">
      <c r="A28" s="4" t="s">
        <v>22</v>
      </c>
      <c r="B28" s="34">
        <f>IF(SUM(B30:B38)&gt;10,10,SUM(B30:B38))</f>
        <v>0</v>
      </c>
      <c r="C28" s="35"/>
      <c r="E28" s="4" t="s">
        <v>23</v>
      </c>
      <c r="G28" s="34">
        <f>(SUM(G30:G38))</f>
        <v>0</v>
      </c>
      <c r="H28" s="35"/>
    </row>
    <row r="29">
      <c r="A29" s="36" t="s">
        <v>24</v>
      </c>
      <c r="B29" s="37" t="s">
        <v>25</v>
      </c>
      <c r="C29" s="37" t="s">
        <v>26</v>
      </c>
      <c r="E29" s="36" t="s">
        <v>24</v>
      </c>
      <c r="G29" s="37" t="s">
        <v>27</v>
      </c>
      <c r="H29" s="37" t="s">
        <v>26</v>
      </c>
    </row>
    <row r="30">
      <c r="A30" s="33"/>
      <c r="B30" s="7"/>
      <c r="C30" s="38"/>
      <c r="E30" s="33"/>
      <c r="G30" s="7"/>
      <c r="H30" s="38"/>
    </row>
    <row r="31">
      <c r="A31" s="38"/>
      <c r="B31" s="7"/>
      <c r="C31" s="38"/>
      <c r="E31" s="33"/>
      <c r="G31" s="7"/>
      <c r="H31" s="38"/>
    </row>
    <row r="32">
      <c r="A32" s="38"/>
      <c r="B32" s="7"/>
      <c r="C32" s="38"/>
      <c r="E32" s="38"/>
      <c r="G32" s="7"/>
      <c r="H32" s="38"/>
    </row>
    <row r="33">
      <c r="A33" s="38"/>
      <c r="B33" s="7"/>
      <c r="C33" s="38"/>
      <c r="E33" s="38"/>
      <c r="G33" s="7"/>
      <c r="H33" s="38"/>
    </row>
    <row r="34">
      <c r="A34" s="38"/>
      <c r="B34" s="7"/>
      <c r="C34" s="38"/>
      <c r="E34" s="38"/>
      <c r="G34" s="9"/>
      <c r="H34" s="38"/>
    </row>
    <row r="35">
      <c r="A35" s="38"/>
      <c r="B35" s="7"/>
      <c r="C35" s="38"/>
      <c r="E35" s="38"/>
      <c r="G35" s="9"/>
      <c r="H35" s="38"/>
    </row>
    <row r="36">
      <c r="A36" s="38"/>
      <c r="B36" s="9"/>
      <c r="C36" s="38"/>
      <c r="E36" s="38"/>
      <c r="G36" s="9"/>
      <c r="H36" s="38"/>
    </row>
    <row r="37">
      <c r="A37" s="38"/>
      <c r="B37" s="7"/>
      <c r="C37" s="38"/>
      <c r="E37" s="38"/>
      <c r="G37" s="9"/>
      <c r="H37" s="38"/>
    </row>
    <row r="38">
      <c r="A38" s="38"/>
      <c r="B38" s="9"/>
      <c r="C38" s="38"/>
      <c r="E38" s="38"/>
      <c r="G38" s="9"/>
      <c r="H38" s="38"/>
    </row>
    <row r="39">
      <c r="A39" s="39"/>
    </row>
    <row r="40">
      <c r="A40" s="24" t="s">
        <v>28</v>
      </c>
      <c r="B40" s="3"/>
      <c r="C40" s="3"/>
      <c r="D40" s="3"/>
      <c r="E40" s="3"/>
      <c r="F40" s="3"/>
      <c r="G40" s="3"/>
      <c r="H40" s="3"/>
      <c r="I40" s="3"/>
    </row>
    <row r="41">
      <c r="A41" s="40" t="s">
        <v>29</v>
      </c>
    </row>
    <row r="42">
      <c r="A42" s="41" t="s">
        <v>30</v>
      </c>
      <c r="C42" s="42" t="s">
        <v>31</v>
      </c>
      <c r="D42" s="42" t="s">
        <v>32</v>
      </c>
      <c r="F42" s="42" t="s">
        <v>33</v>
      </c>
      <c r="G42" s="42" t="s">
        <v>34</v>
      </c>
      <c r="I42" s="42" t="s">
        <v>35</v>
      </c>
    </row>
    <row r="43">
      <c r="A43" s="43" t="s">
        <v>36</v>
      </c>
      <c r="C43" s="44" t="str">
        <f>IFERROR(VLOOKUP($A$43,Data!$B$2:$G$19,2,false),"")</f>
        <v/>
      </c>
      <c r="D43" s="45" t="str">
        <f>IFERROR(VLOOKUP($A$43,Data!$B$2:$G$19,3,false),"")</f>
        <v/>
      </c>
      <c r="F43" s="45" t="str">
        <f>IFERROR(VLOOKUP($A$43,Data!$B$2:$G$19,4,false),"")</f>
        <v/>
      </c>
      <c r="G43" s="45" t="str">
        <f>IFERROR(VLOOKUP($A$43,Data!$B$2:$G$19,5,false),"")</f>
        <v/>
      </c>
      <c r="I43" s="46" t="str">
        <f>IFERROR(VLOOKUP($A$43,Data!$B$2:$G$19,6,false),"")</f>
        <v/>
      </c>
    </row>
    <row r="44">
      <c r="A44" s="11"/>
    </row>
    <row r="45">
      <c r="A45" s="11"/>
    </row>
    <row r="46">
      <c r="A46" s="24" t="s">
        <v>37</v>
      </c>
      <c r="B46" s="3"/>
      <c r="C46" s="3"/>
      <c r="D46" s="3"/>
      <c r="E46" s="3"/>
      <c r="F46" s="3"/>
      <c r="G46" s="3"/>
      <c r="H46" s="3"/>
      <c r="I46" s="3"/>
    </row>
    <row r="47">
      <c r="A47" s="11"/>
    </row>
    <row r="48">
      <c r="A48" s="4" t="s">
        <v>38</v>
      </c>
      <c r="B48" s="47">
        <f>SUM(B49,B50,B51,B52,B53,B54)</f>
        <v>11</v>
      </c>
      <c r="F48" s="27"/>
      <c r="G48" s="48"/>
    </row>
    <row r="49">
      <c r="A49" s="49" t="s">
        <v>39</v>
      </c>
      <c r="B49" s="50">
        <v>11.0</v>
      </c>
    </row>
    <row r="50">
      <c r="A50" s="49" t="s">
        <v>40</v>
      </c>
      <c r="B50" s="51">
        <f>G56</f>
        <v>0</v>
      </c>
    </row>
    <row r="51">
      <c r="A51" s="49" t="s">
        <v>41</v>
      </c>
      <c r="B51" s="31">
        <f>(B56)</f>
        <v>0</v>
      </c>
      <c r="F51" s="52" t="s">
        <v>42</v>
      </c>
      <c r="G51" s="53">
        <f>SUM(B82,B69,G69)</f>
        <v>0</v>
      </c>
    </row>
    <row r="52">
      <c r="A52" s="49" t="s">
        <v>43</v>
      </c>
      <c r="B52" s="31">
        <f>IF(C52=TRUE,2,0)</f>
        <v>0</v>
      </c>
      <c r="C52" s="33" t="b">
        <v>0</v>
      </c>
      <c r="F52" s="52" t="s">
        <v>44</v>
      </c>
      <c r="G52" s="53">
        <f>B48-G51</f>
        <v>11</v>
      </c>
    </row>
    <row r="53">
      <c r="A53" s="49" t="s">
        <v>45</v>
      </c>
      <c r="B53" s="50">
        <v>0.0</v>
      </c>
      <c r="C53" s="54" t="s">
        <v>46</v>
      </c>
    </row>
    <row r="54">
      <c r="A54" s="49" t="s">
        <v>47</v>
      </c>
      <c r="B54" s="50">
        <v>0.0</v>
      </c>
      <c r="C54" s="54" t="s">
        <v>48</v>
      </c>
    </row>
    <row r="55">
      <c r="A55" s="27"/>
      <c r="B55" s="55"/>
    </row>
    <row r="56">
      <c r="A56" s="56" t="s">
        <v>49</v>
      </c>
      <c r="B56" s="57">
        <f>(SUMIF(C58:C67,TRUE,B58:B67))</f>
        <v>0</v>
      </c>
      <c r="C56" s="58"/>
      <c r="E56" s="56" t="s">
        <v>50</v>
      </c>
      <c r="G56" s="57">
        <f>IF(SUM(G58:G67)&gt;5,5,(SUM(G58:G67)))</f>
        <v>0</v>
      </c>
      <c r="H56" s="35"/>
    </row>
    <row r="57">
      <c r="A57" s="36" t="s">
        <v>24</v>
      </c>
      <c r="B57" s="37" t="s">
        <v>27</v>
      </c>
      <c r="C57" s="59" t="s">
        <v>51</v>
      </c>
      <c r="E57" s="36" t="s">
        <v>24</v>
      </c>
      <c r="G57" s="37" t="s">
        <v>25</v>
      </c>
      <c r="H57" s="37" t="s">
        <v>26</v>
      </c>
    </row>
    <row r="58">
      <c r="A58" s="38"/>
      <c r="B58" s="7"/>
      <c r="C58" s="60" t="b">
        <v>0</v>
      </c>
      <c r="E58" s="61"/>
      <c r="G58" s="7"/>
      <c r="H58" s="62"/>
    </row>
    <row r="59">
      <c r="A59" s="38"/>
      <c r="B59" s="7"/>
      <c r="C59" s="60" t="b">
        <v>0</v>
      </c>
      <c r="E59" s="61"/>
      <c r="G59" s="7"/>
      <c r="H59" s="62"/>
    </row>
    <row r="60">
      <c r="A60" s="38"/>
      <c r="B60" s="7"/>
      <c r="C60" s="60" t="b">
        <v>0</v>
      </c>
      <c r="E60" s="61"/>
      <c r="G60" s="7"/>
      <c r="H60" s="62"/>
    </row>
    <row r="61">
      <c r="A61" s="38"/>
      <c r="B61" s="7"/>
      <c r="C61" s="60" t="b">
        <v>0</v>
      </c>
      <c r="E61" s="61"/>
      <c r="G61" s="7"/>
      <c r="H61" s="62"/>
    </row>
    <row r="62">
      <c r="A62" s="38"/>
      <c r="B62" s="7"/>
      <c r="C62" s="60" t="b">
        <v>0</v>
      </c>
      <c r="E62" s="61"/>
      <c r="G62" s="7"/>
      <c r="H62" s="62"/>
    </row>
    <row r="63">
      <c r="A63" s="38"/>
      <c r="B63" s="7"/>
      <c r="C63" s="60" t="b">
        <v>0</v>
      </c>
      <c r="E63" s="61"/>
      <c r="G63" s="7"/>
      <c r="H63" s="62"/>
    </row>
    <row r="64">
      <c r="A64" s="38"/>
      <c r="B64" s="7"/>
      <c r="C64" s="62"/>
      <c r="E64" s="61"/>
      <c r="G64" s="7"/>
      <c r="H64" s="62"/>
    </row>
    <row r="65">
      <c r="A65" s="38"/>
      <c r="B65" s="9"/>
      <c r="C65" s="62"/>
      <c r="E65" s="61"/>
      <c r="G65" s="7"/>
      <c r="H65" s="62"/>
    </row>
    <row r="66">
      <c r="A66" s="38"/>
      <c r="B66" s="7"/>
      <c r="C66" s="62"/>
      <c r="E66" s="61"/>
      <c r="G66" s="7"/>
      <c r="H66" s="62"/>
    </row>
    <row r="67">
      <c r="A67" s="38"/>
      <c r="B67" s="9"/>
      <c r="C67" s="62"/>
      <c r="E67" s="61"/>
      <c r="G67" s="9"/>
      <c r="H67" s="62"/>
    </row>
    <row r="69">
      <c r="A69" s="56" t="s">
        <v>52</v>
      </c>
      <c r="B69" s="57">
        <f>SUM(B71:B80)</f>
        <v>0</v>
      </c>
      <c r="C69" s="35"/>
      <c r="E69" s="56" t="s">
        <v>53</v>
      </c>
      <c r="G69" s="57">
        <f>SUM(G71:G80)</f>
        <v>0</v>
      </c>
      <c r="H69" s="35"/>
    </row>
    <row r="70">
      <c r="A70" s="36" t="s">
        <v>24</v>
      </c>
      <c r="B70" s="37" t="s">
        <v>27</v>
      </c>
      <c r="C70" s="37" t="s">
        <v>26</v>
      </c>
      <c r="E70" s="36" t="s">
        <v>24</v>
      </c>
      <c r="G70" s="37" t="s">
        <v>27</v>
      </c>
      <c r="H70" s="37" t="s">
        <v>26</v>
      </c>
    </row>
    <row r="71">
      <c r="A71" s="38"/>
      <c r="B71" s="7"/>
      <c r="C71" s="38"/>
      <c r="E71" s="33"/>
      <c r="G71" s="7"/>
      <c r="H71" s="38"/>
    </row>
    <row r="72">
      <c r="A72" s="38"/>
      <c r="B72" s="7"/>
      <c r="C72" s="38"/>
      <c r="E72" s="33"/>
      <c r="G72" s="7"/>
      <c r="H72" s="38"/>
    </row>
    <row r="73">
      <c r="A73" s="38"/>
      <c r="B73" s="7"/>
      <c r="C73" s="38"/>
      <c r="E73" s="33"/>
      <c r="G73" s="7"/>
      <c r="H73" s="38"/>
    </row>
    <row r="74">
      <c r="A74" s="38"/>
      <c r="B74" s="7"/>
      <c r="C74" s="38"/>
      <c r="E74" s="33"/>
      <c r="G74" s="7"/>
      <c r="H74" s="38"/>
    </row>
    <row r="75">
      <c r="A75" s="38"/>
      <c r="B75" s="7"/>
      <c r="C75" s="38"/>
      <c r="E75" s="33"/>
      <c r="G75" s="7"/>
      <c r="H75" s="38"/>
    </row>
    <row r="76">
      <c r="A76" s="38"/>
      <c r="B76" s="7"/>
      <c r="C76" s="38"/>
      <c r="E76" s="33"/>
      <c r="G76" s="7"/>
      <c r="H76" s="38"/>
    </row>
    <row r="77">
      <c r="A77" s="38"/>
      <c r="B77" s="7"/>
      <c r="C77" s="38"/>
      <c r="E77" s="33"/>
      <c r="G77" s="7"/>
      <c r="H77" s="38"/>
    </row>
    <row r="78">
      <c r="A78" s="38"/>
      <c r="B78" s="7"/>
      <c r="C78" s="38"/>
      <c r="E78" s="33"/>
      <c r="G78" s="7"/>
      <c r="H78" s="38"/>
    </row>
    <row r="79">
      <c r="A79" s="38"/>
      <c r="B79" s="7"/>
      <c r="C79" s="38"/>
      <c r="E79" s="33"/>
      <c r="G79" s="7"/>
      <c r="H79" s="38"/>
    </row>
    <row r="80">
      <c r="A80" s="38"/>
      <c r="B80" s="9"/>
      <c r="C80" s="38"/>
      <c r="E80" s="33"/>
      <c r="G80" s="9"/>
      <c r="H80" s="38"/>
    </row>
    <row r="82">
      <c r="A82" s="63" t="s">
        <v>54</v>
      </c>
      <c r="B82" s="64">
        <f>SUM(B84:B93)</f>
        <v>0</v>
      </c>
      <c r="C82" s="65"/>
    </row>
    <row r="83">
      <c r="A83" s="66" t="s">
        <v>24</v>
      </c>
      <c r="B83" s="67" t="s">
        <v>27</v>
      </c>
      <c r="C83" s="37" t="s">
        <v>26</v>
      </c>
    </row>
    <row r="84">
      <c r="A84" s="38"/>
      <c r="B84" s="68"/>
      <c r="C84" s="38"/>
    </row>
    <row r="85">
      <c r="A85" s="38"/>
      <c r="B85" s="69"/>
      <c r="C85" s="38"/>
    </row>
    <row r="86">
      <c r="A86" s="38"/>
      <c r="B86" s="68"/>
      <c r="C86" s="38"/>
    </row>
    <row r="87">
      <c r="A87" s="38"/>
      <c r="B87" s="68"/>
      <c r="C87" s="38"/>
    </row>
    <row r="88">
      <c r="A88" s="38"/>
      <c r="B88" s="68"/>
      <c r="C88" s="38"/>
    </row>
    <row r="89">
      <c r="A89" s="38"/>
      <c r="B89" s="68"/>
      <c r="C89" s="38"/>
    </row>
    <row r="90">
      <c r="A90" s="38"/>
      <c r="B90" s="69"/>
      <c r="C90" s="38"/>
    </row>
    <row r="91">
      <c r="A91" s="38"/>
      <c r="B91" s="69"/>
      <c r="C91" s="38"/>
    </row>
    <row r="92">
      <c r="A92" s="38"/>
      <c r="B92" s="69"/>
      <c r="C92" s="38"/>
    </row>
    <row r="93">
      <c r="A93" s="38"/>
      <c r="B93" s="69"/>
      <c r="C93" s="38"/>
    </row>
  </sheetData>
  <mergeCells count="66">
    <mergeCell ref="D43:E43"/>
    <mergeCell ref="D44:E44"/>
    <mergeCell ref="D45:E4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75:F75"/>
    <mergeCell ref="E76:F76"/>
    <mergeCell ref="E77:F77"/>
    <mergeCell ref="E78:F78"/>
    <mergeCell ref="E79:F79"/>
    <mergeCell ref="E80:F80"/>
    <mergeCell ref="E67:F67"/>
    <mergeCell ref="E69:F69"/>
    <mergeCell ref="E70:F70"/>
    <mergeCell ref="E71:F71"/>
    <mergeCell ref="E72:F72"/>
    <mergeCell ref="E73:F73"/>
    <mergeCell ref="E74:F74"/>
    <mergeCell ref="C18:D18"/>
    <mergeCell ref="C19:D19"/>
    <mergeCell ref="C20:D20"/>
    <mergeCell ref="C21:D21"/>
    <mergeCell ref="B24:C24"/>
    <mergeCell ref="B25:C25"/>
    <mergeCell ref="B3:D3"/>
    <mergeCell ref="B4:D4"/>
    <mergeCell ref="C16:D16"/>
    <mergeCell ref="F16:H16"/>
    <mergeCell ref="C17:D17"/>
    <mergeCell ref="F17:H17"/>
    <mergeCell ref="F18:H18"/>
    <mergeCell ref="F19:H19"/>
    <mergeCell ref="F20:H20"/>
    <mergeCell ref="F21:H21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G42:H42"/>
    <mergeCell ref="G43:H43"/>
    <mergeCell ref="G45:H45"/>
    <mergeCell ref="A44:B44"/>
    <mergeCell ref="A45:B45"/>
    <mergeCell ref="A41:B41"/>
    <mergeCell ref="D41:E41"/>
    <mergeCell ref="G41:H41"/>
    <mergeCell ref="A42:B42"/>
    <mergeCell ref="D42:E42"/>
    <mergeCell ref="A43:B43"/>
    <mergeCell ref="G44:H44"/>
  </mergeCells>
  <conditionalFormatting sqref="A12:A14">
    <cfRule type="notContainsText" dxfId="0" priority="1" operator="notContains" text="-">
      <formula>ISERROR(SEARCH(("-"),(A12)))</formula>
    </cfRule>
  </conditionalFormatting>
  <conditionalFormatting sqref="B24:C24">
    <cfRule type="notContainsText" dxfId="1" priority="2" operator="notContains" text="-">
      <formula>ISERROR(SEARCH(("-"),(B24)))</formula>
    </cfRule>
  </conditionalFormatting>
  <conditionalFormatting sqref="G52 G25">
    <cfRule type="cellIs" dxfId="2" priority="3" operator="lessThan">
      <formula>0</formula>
    </cfRule>
  </conditionalFormatting>
  <conditionalFormatting sqref="A43:B43">
    <cfRule type="notContainsText" dxfId="0" priority="4" operator="notContains" text="-">
      <formula>ISERROR(SEARCH(("-"),(A43)))</formula>
    </cfRule>
  </conditionalFormatting>
  <dataValidations>
    <dataValidation type="list" allowBlank="1" showErrorMessage="1" sqref="A12:A14">
      <formula1>" - Select Class -,Artisan,Cleric,Druid,Fighter,Mage,Rogue,Socialite,Sourcerer"</formula1>
    </dataValidation>
    <dataValidation type="list" allowBlank="1" showErrorMessage="1" sqref="A43">
      <formula1>Data!$B$1:$B$19</formula1>
    </dataValidation>
    <dataValidation type="list" allowBlank="1" showErrorMessage="1" sqref="B24">
      <formula1>"- Select Lineage -,Aewen,Chimera,Forged,Human,Lost,Oaksworn,Ogrim,Underkin"</formula1>
    </dataValidation>
  </dataValidations>
  <hyperlinks>
    <hyperlink r:id="rId2" location="heading=h.vt7868emakvw" ref="F6"/>
    <hyperlink r:id="rId3" location="heading=h.n8ls68t2flpx" ref="A8"/>
    <hyperlink r:id="rId4" location="heading=h.mk0efhdy6kmi" ref="A10"/>
    <hyperlink r:id="rId5" ref="A23"/>
    <hyperlink r:id="rId6" ref="A40"/>
    <hyperlink r:id="rId7" ref="A46"/>
  </hyperlinks>
  <drawing r:id="rId8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0.0"/>
  </cols>
  <sheetData>
    <row r="2">
      <c r="A2" s="70" t="s">
        <v>55</v>
      </c>
      <c r="B2" s="71"/>
      <c r="C2" s="71"/>
      <c r="D2" s="71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>
      <c r="A3" s="54" t="s">
        <v>56</v>
      </c>
    </row>
    <row r="6">
      <c r="A6" s="73" t="s">
        <v>57</v>
      </c>
      <c r="B6" s="35"/>
      <c r="C6" s="35"/>
    </row>
    <row r="7">
      <c r="A7" s="74" t="s">
        <v>58</v>
      </c>
    </row>
    <row r="8">
      <c r="A8" s="54" t="s">
        <v>59</v>
      </c>
    </row>
    <row r="9">
      <c r="B9" s="33" t="s">
        <v>60</v>
      </c>
    </row>
    <row r="10">
      <c r="B10" s="7" t="s">
        <v>61</v>
      </c>
    </row>
    <row r="11">
      <c r="A11" s="54" t="s">
        <v>62</v>
      </c>
    </row>
  </sheetData>
  <hyperlinks>
    <hyperlink r:id="rId1" location="heading=h.8k11am74uc8c" ref="A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63</v>
      </c>
      <c r="B1" s="54" t="s">
        <v>36</v>
      </c>
      <c r="C1" s="75" t="s">
        <v>31</v>
      </c>
      <c r="D1" s="75" t="s">
        <v>32</v>
      </c>
      <c r="E1" s="75" t="s">
        <v>33</v>
      </c>
      <c r="F1" s="75" t="s">
        <v>34</v>
      </c>
      <c r="G1" s="75" t="s">
        <v>35</v>
      </c>
    </row>
    <row r="2">
      <c r="B2" s="76" t="s">
        <v>64</v>
      </c>
      <c r="C2" s="75" t="s">
        <v>65</v>
      </c>
      <c r="D2" s="75" t="s">
        <v>66</v>
      </c>
      <c r="E2" s="75" t="s">
        <v>67</v>
      </c>
      <c r="F2" s="75" t="s">
        <v>68</v>
      </c>
    </row>
    <row r="3">
      <c r="B3" s="76" t="s">
        <v>69</v>
      </c>
      <c r="C3" s="75" t="s">
        <v>70</v>
      </c>
      <c r="D3" s="75" t="s">
        <v>71</v>
      </c>
      <c r="E3" s="75" t="s">
        <v>72</v>
      </c>
      <c r="F3" s="75" t="s">
        <v>73</v>
      </c>
      <c r="G3" s="75" t="s">
        <v>74</v>
      </c>
    </row>
    <row r="4">
      <c r="B4" s="76" t="s">
        <v>75</v>
      </c>
      <c r="C4" s="75" t="s">
        <v>76</v>
      </c>
      <c r="D4" s="75" t="s">
        <v>77</v>
      </c>
      <c r="E4" s="75" t="s">
        <v>78</v>
      </c>
    </row>
    <row r="5">
      <c r="B5" s="76" t="s">
        <v>79</v>
      </c>
      <c r="C5" s="75" t="s">
        <v>76</v>
      </c>
      <c r="D5" s="75" t="s">
        <v>72</v>
      </c>
      <c r="E5" s="75" t="s">
        <v>73</v>
      </c>
    </row>
    <row r="6">
      <c r="B6" s="76" t="s">
        <v>80</v>
      </c>
      <c r="C6" s="75" t="s">
        <v>76</v>
      </c>
      <c r="D6" s="75" t="s">
        <v>81</v>
      </c>
      <c r="E6" s="75" t="s">
        <v>66</v>
      </c>
    </row>
    <row r="7">
      <c r="B7" s="76" t="s">
        <v>82</v>
      </c>
      <c r="C7" s="75" t="s">
        <v>76</v>
      </c>
      <c r="D7" s="75" t="s">
        <v>83</v>
      </c>
      <c r="E7" s="75" t="s">
        <v>67</v>
      </c>
    </row>
    <row r="8">
      <c r="B8" s="76" t="s">
        <v>84</v>
      </c>
      <c r="C8" s="75" t="s">
        <v>85</v>
      </c>
      <c r="D8" s="75" t="s">
        <v>67</v>
      </c>
      <c r="E8" s="75" t="s">
        <v>68</v>
      </c>
      <c r="F8" s="75" t="s">
        <v>71</v>
      </c>
    </row>
    <row r="9">
      <c r="B9" s="76" t="s">
        <v>86</v>
      </c>
      <c r="C9" s="75" t="s">
        <v>87</v>
      </c>
      <c r="D9" s="75" t="s">
        <v>66</v>
      </c>
      <c r="E9" s="75" t="s">
        <v>83</v>
      </c>
      <c r="F9" s="75" t="s">
        <v>67</v>
      </c>
      <c r="G9" s="75" t="s">
        <v>88</v>
      </c>
    </row>
    <row r="10">
      <c r="B10" s="76" t="s">
        <v>89</v>
      </c>
      <c r="C10" s="75" t="s">
        <v>90</v>
      </c>
      <c r="D10" s="75" t="s">
        <v>91</v>
      </c>
      <c r="E10" s="75" t="s">
        <v>72</v>
      </c>
      <c r="F10" s="75" t="s">
        <v>92</v>
      </c>
    </row>
    <row r="11">
      <c r="B11" s="76" t="s">
        <v>93</v>
      </c>
      <c r="C11" s="75" t="s">
        <v>94</v>
      </c>
      <c r="D11" s="75" t="s">
        <v>95</v>
      </c>
      <c r="E11" s="75" t="s">
        <v>88</v>
      </c>
      <c r="F11" s="75" t="s">
        <v>83</v>
      </c>
    </row>
    <row r="12">
      <c r="B12" s="76" t="s">
        <v>96</v>
      </c>
      <c r="C12" s="75" t="s">
        <v>94</v>
      </c>
      <c r="D12" s="75" t="s">
        <v>97</v>
      </c>
      <c r="E12" s="75" t="s">
        <v>98</v>
      </c>
      <c r="F12" s="75" t="s">
        <v>78</v>
      </c>
    </row>
    <row r="13">
      <c r="B13" s="76" t="s">
        <v>99</v>
      </c>
      <c r="C13" s="75" t="s">
        <v>94</v>
      </c>
      <c r="D13" s="75" t="s">
        <v>88</v>
      </c>
      <c r="E13" s="75" t="s">
        <v>91</v>
      </c>
    </row>
    <row r="14">
      <c r="B14" s="76" t="s">
        <v>100</v>
      </c>
      <c r="C14" s="75" t="s">
        <v>94</v>
      </c>
      <c r="D14" s="75" t="s">
        <v>88</v>
      </c>
      <c r="E14" s="75" t="s">
        <v>95</v>
      </c>
    </row>
    <row r="15">
      <c r="B15" s="76" t="s">
        <v>101</v>
      </c>
      <c r="C15" s="75" t="s">
        <v>94</v>
      </c>
      <c r="D15" s="75" t="s">
        <v>102</v>
      </c>
      <c r="E15" s="75" t="s">
        <v>98</v>
      </c>
    </row>
    <row r="16">
      <c r="B16" s="76" t="s">
        <v>103</v>
      </c>
      <c r="C16" s="75" t="s">
        <v>94</v>
      </c>
      <c r="D16" s="75" t="s">
        <v>78</v>
      </c>
      <c r="E16" s="75" t="s">
        <v>104</v>
      </c>
    </row>
    <row r="17">
      <c r="B17" s="76" t="s">
        <v>105</v>
      </c>
      <c r="C17" s="75" t="s">
        <v>94</v>
      </c>
      <c r="D17" s="75" t="s">
        <v>91</v>
      </c>
      <c r="E17" s="75" t="s">
        <v>98</v>
      </c>
      <c r="F17" s="75" t="s">
        <v>81</v>
      </c>
    </row>
    <row r="18">
      <c r="B18" s="76" t="s">
        <v>106</v>
      </c>
      <c r="C18" s="75" t="s">
        <v>94</v>
      </c>
      <c r="D18" s="75" t="s">
        <v>74</v>
      </c>
      <c r="E18" s="75" t="s">
        <v>95</v>
      </c>
      <c r="F18" s="75" t="s">
        <v>78</v>
      </c>
    </row>
    <row r="19">
      <c r="B19" s="76" t="s">
        <v>107</v>
      </c>
      <c r="C19" s="75" t="s">
        <v>94</v>
      </c>
      <c r="D19" s="75" t="s">
        <v>83</v>
      </c>
      <c r="E19" s="75" t="s">
        <v>97</v>
      </c>
    </row>
  </sheetData>
  <dataValidations>
    <dataValidation type="list" allowBlank="1" showErrorMessage="1" sqref="A1">
      <formula1>"Aewen,Chimera,Forged,Human,Lost,Oaksworn,Ogrim,Underkin,- Select L"</formula1>
    </dataValidation>
  </dataValidations>
  <hyperlinks>
    <hyperlink r:id="rId1" location="heading=h.ma7166br6k6j" ref="B2"/>
    <hyperlink r:id="rId2" location="heading=h.hens7dk8w8ms" ref="B3"/>
    <hyperlink r:id="rId3" location="heading=h.pgzjtq2r9h2c" ref="B4"/>
    <hyperlink r:id="rId4" location="heading=h.jer74vld7hdy" ref="B5"/>
    <hyperlink r:id="rId5" location="heading=h.t6lrut8p5hkd" ref="B6"/>
    <hyperlink r:id="rId6" location="heading=h.8936if2t536d" ref="B7"/>
    <hyperlink r:id="rId7" location="heading=h.64ik65sgzks6" ref="B8"/>
    <hyperlink r:id="rId8" location="heading=h.xllwdnebojj3" ref="B9"/>
    <hyperlink r:id="rId9" location="heading=h.o74c10uoipj9" ref="B10"/>
    <hyperlink r:id="rId10" location="heading=h.rh13r5vshzo5" ref="B11"/>
    <hyperlink r:id="rId11" location="heading=h.lwwdyo97p92c" ref="B12"/>
    <hyperlink r:id="rId12" location="heading=h.jmuh2ibuh2pv" ref="B13"/>
    <hyperlink r:id="rId13" location="heading=h.dlqaz9wxj6e1" ref="B14"/>
    <hyperlink r:id="rId14" location="heading=h.qf9ronaaze0e" ref="B15"/>
    <hyperlink r:id="rId15" location="heading=h.cpdyk5qkvwz0" ref="B16"/>
    <hyperlink r:id="rId16" location="heading=h.gyg17e4mtn5c" ref="B17"/>
    <hyperlink r:id="rId17" location="heading=h.p1jpsnqbwh0e" ref="B18"/>
    <hyperlink r:id="rId18" location="heading=h.78kek98xpyrh" ref="B19"/>
  </hyperlinks>
  <drawing r:id="rId19"/>
</worksheet>
</file>